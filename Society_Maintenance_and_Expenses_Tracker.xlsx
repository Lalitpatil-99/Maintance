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intenance Detail" sheetId="2" state="visible" r:id="rId2"/>
    <sheet xmlns:r="http://schemas.openxmlformats.org/officeDocument/2006/relationships"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FFFFFF"/>
      <sz val="16"/>
    </font>
    <font>
      <name val="Segoe UI"/>
      <color rgb="00555555"/>
      <sz val="9"/>
    </font>
    <font>
      <name val="Segoe UI"/>
      <b val="1"/>
      <color rgb="001B365D"/>
      <sz val="18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E6EEF8"/>
        <bgColor rgb="00E6EEF8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164" fontId="3" fillId="0" borderId="2" pivotButton="0" quotePrefix="0" xfId="0"/>
  </cellXfs>
  <cellStyles count="1">
    <cellStyle name="Normal" xfId="0" builtinId="0" hidden="0"/>
  </cellStyles>
  <dxfs count="2">
    <dxf>
      <font>
        <b val="1"/>
        <color rgb="00155724"/>
      </font>
      <fill>
        <patternFill patternType="solid">
          <fgColor rgb="00D4EDDA"/>
          <bgColor rgb="00D4EDDA"/>
        </patternFill>
      </fill>
    </dxf>
    <dxf>
      <font>
        <b val="1"/>
        <color rgb="00721C24"/>
      </font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Collection Status (Paid vs Pending Counts)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'Dashboard'!$A$11:$A$12</f>
            </numRef>
          </cat>
          <val>
            <numRef>
              <f>'Dashboard'!$B$11:$B$12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8" customWidth="1" min="4" max="4"/>
    <col width="18" customWidth="1" min="5" max="5"/>
    <col width="12" customWidth="1" min="6" max="6"/>
    <col width="84" customWidth="1" min="7" max="7"/>
    <col width="77" customWidth="1" min="8" max="8"/>
    <col width="12" customWidth="1" min="9" max="9"/>
  </cols>
  <sheetData>
    <row r="1">
      <c r="A1" s="1" t="inlineStr">
        <is>
          <t>Society Maintenance &amp; Expense Dashboard</t>
        </is>
      </c>
    </row>
    <row r="2"/>
    <row r="3"/>
    <row r="4">
      <c r="A4" s="2" t="inlineStr">
        <is>
          <t>Total Collection</t>
        </is>
      </c>
      <c r="B4" s="3" t="n"/>
      <c r="C4" s="2" t="inlineStr">
        <is>
          <t>Total Expenses</t>
        </is>
      </c>
      <c r="D4" s="3" t="n"/>
      <c r="E4" s="2" t="inlineStr">
        <is>
          <t>Net Balance</t>
        </is>
      </c>
      <c r="F4" s="3" t="n"/>
      <c r="G4" s="2" t="inlineStr">
        <is>
          <t>Collection %</t>
        </is>
      </c>
      <c r="H4" s="3" t="n"/>
    </row>
    <row r="5">
      <c r="A5" s="4">
        <f>'Maintenance Detail'!E46</f>
        <v/>
      </c>
      <c r="B5" s="3" t="n"/>
      <c r="C5" s="4">
        <f>Expenses!D7</f>
        <v/>
      </c>
      <c r="D5" s="3" t="n"/>
      <c r="E5" s="4">
        <f>A5-C5</f>
        <v/>
      </c>
      <c r="F5" s="3" t="n"/>
      <c r="G5" s="5">
        <f>COUNTIF('Maintenance Detail'!I3:I45, "Paid")/COUNTA('Maintenance Detail'!I3:I45)</f>
        <v/>
      </c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/>
    <row r="8"/>
    <row r="9">
      <c r="A9" s="6" t="inlineStr">
        <is>
          <t>Collection Summary</t>
        </is>
      </c>
      <c r="D9" s="6" t="inlineStr">
        <is>
          <t>Unit Type Summary</t>
        </is>
      </c>
      <c r="G9" s="6" t="inlineStr">
        <is>
          <t>Payment Mode Summary</t>
        </is>
      </c>
    </row>
    <row r="10">
      <c r="A10" s="7" t="inlineStr">
        <is>
          <t>Status</t>
        </is>
      </c>
      <c r="B10" s="7" t="inlineStr">
        <is>
          <t>Count</t>
        </is>
      </c>
      <c r="D10" s="7" t="inlineStr">
        <is>
          <t>Type</t>
        </is>
      </c>
      <c r="E10" s="7" t="inlineStr">
        <is>
          <t>Amount</t>
        </is>
      </c>
      <c r="G10" s="7" t="inlineStr">
        <is>
          <t>Mode</t>
        </is>
      </c>
      <c r="H10" s="7" t="inlineStr">
        <is>
          <t>Amount</t>
        </is>
      </c>
    </row>
    <row r="11">
      <c r="A11" s="8" t="inlineStr">
        <is>
          <t>Paid</t>
        </is>
      </c>
      <c r="B11" s="9">
        <f>COUNTIF('Maintenance Detail'!I3:I45, "Paid")</f>
        <v/>
      </c>
      <c r="D11" s="8" t="inlineStr">
        <is>
          <t>Shops</t>
        </is>
      </c>
      <c r="E11" s="10">
        <f>SUMIF('Maintenance Detail'!D3:D45, "*Shop*", 'Maintenance Detail'!E3:E45)</f>
        <v/>
      </c>
      <c r="G11" s="8" t="inlineStr">
        <is>
          <t>Online</t>
        </is>
      </c>
      <c r="H11" s="10">
        <f>SUMIF('Maintenance Detail'!F3:F45, "Online", 'Maintenance Detail'!E3:E45)</f>
        <v/>
      </c>
    </row>
    <row r="12">
      <c r="A12" s="8" t="inlineStr">
        <is>
          <t>Pending</t>
        </is>
      </c>
      <c r="B12" s="9">
        <f>COUNTIF('Maintenance Detail'!I3:I45, "Pending")</f>
        <v/>
      </c>
      <c r="D12" s="8" t="inlineStr">
        <is>
          <t>Flats</t>
        </is>
      </c>
      <c r="E12" s="10">
        <f>SUMIF('Maintenance Detail'!D3:D45, "*Flat*", 'Maintenance Detail'!E3:E45)</f>
        <v/>
      </c>
      <c r="G12" s="8" t="inlineStr">
        <is>
          <t>Cash</t>
        </is>
      </c>
      <c r="H12" s="10">
        <f>SUMIF('Maintenance Detail'!F3:F45, "Cash", 'Maintenance Detail'!E3:E45)</f>
        <v/>
      </c>
    </row>
    <row r="13"/>
    <row r="14"/>
    <row r="15">
      <c r="A15" s="6" t="inlineStr">
        <is>
          <t>Defaulters / Pending List</t>
        </is>
      </c>
    </row>
    <row r="16">
      <c r="A16" s="6" t="inlineStr">
        <is>
          <t>Flat/Shop No.</t>
        </is>
      </c>
      <c r="B16" s="6" t="inlineStr">
        <is>
          <t>Owner Name</t>
        </is>
      </c>
    </row>
    <row r="17">
      <c r="A17" s="11">
        <f>'Maintenance Detail'!D5</f>
        <v/>
      </c>
      <c r="B17" s="11">
        <f>'Maintenance Detail'!B5</f>
        <v/>
      </c>
    </row>
    <row r="18">
      <c r="A18" s="11">
        <f>'Maintenance Detail'!D6</f>
        <v/>
      </c>
      <c r="B18" s="11">
        <f>'Maintenance Detail'!B6</f>
        <v/>
      </c>
    </row>
    <row r="19">
      <c r="A19" s="11">
        <f>'Maintenance Detail'!D7</f>
        <v/>
      </c>
      <c r="B19" s="11">
        <f>'Maintenance Detail'!B7</f>
        <v/>
      </c>
    </row>
    <row r="20">
      <c r="A20" s="11">
        <f>'Maintenance Detail'!D13</f>
        <v/>
      </c>
      <c r="B20" s="11">
        <f>'Maintenance Detail'!B13</f>
        <v/>
      </c>
    </row>
    <row r="21">
      <c r="A21" s="11">
        <f>'Maintenance Detail'!D15</f>
        <v/>
      </c>
      <c r="B21" s="11">
        <f>'Maintenance Detail'!B15</f>
        <v/>
      </c>
    </row>
    <row r="22">
      <c r="A22" s="11">
        <f>'Maintenance Detail'!D19</f>
        <v/>
      </c>
      <c r="B22" s="11">
        <f>'Maintenance Detail'!B19</f>
        <v/>
      </c>
    </row>
    <row r="23">
      <c r="A23" s="11">
        <f>'Maintenance Detail'!D25</f>
        <v/>
      </c>
      <c r="B23" s="11">
        <f>'Maintenance Detail'!B25</f>
        <v/>
      </c>
    </row>
    <row r="24">
      <c r="A24" s="11">
        <f>'Maintenance Detail'!D26</f>
        <v/>
      </c>
      <c r="B24" s="11">
        <f>'Maintenance Detail'!B26</f>
        <v/>
      </c>
    </row>
    <row r="25">
      <c r="A25" s="11">
        <f>'Maintenance Detail'!D33</f>
        <v/>
      </c>
      <c r="B25" s="11">
        <f>'Maintenance Detail'!B33</f>
        <v/>
      </c>
    </row>
    <row r="26">
      <c r="A26" s="11">
        <f>'Maintenance Detail'!D35</f>
        <v/>
      </c>
      <c r="B26" s="11">
        <f>'Maintenance Detail'!B35</f>
        <v/>
      </c>
    </row>
    <row r="27">
      <c r="A27" s="11">
        <f>'Maintenance Detail'!D40</f>
        <v/>
      </c>
      <c r="B27" s="11">
        <f>'Maintenance Detail'!B40</f>
        <v/>
      </c>
    </row>
    <row r="28">
      <c r="A28" s="11">
        <f>'Maintenance Detail'!D42</f>
        <v/>
      </c>
      <c r="B28" s="11">
        <f>'Maintenance Detail'!B42</f>
        <v/>
      </c>
    </row>
  </sheetData>
  <mergeCells count="9">
    <mergeCell ref="A4:B4"/>
    <mergeCell ref="G4:H4"/>
    <mergeCell ref="E4:F4"/>
    <mergeCell ref="C5:D6"/>
    <mergeCell ref="A1:I2"/>
    <mergeCell ref="A5:B6"/>
    <mergeCell ref="E5:F6"/>
    <mergeCell ref="G5:H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21" customWidth="1" min="5" max="5"/>
    <col width="15" customWidth="1" min="6" max="6"/>
    <col width="15" customWidth="1" min="7" max="7"/>
    <col width="18" customWidth="1" min="8" max="8"/>
    <col width="32" customWidth="1" min="9" max="9"/>
  </cols>
  <sheetData>
    <row r="1"/>
    <row r="2">
      <c r="A2" s="7" t="inlineStr">
        <is>
          <t>Sr. No.</t>
        </is>
      </c>
      <c r="B2" s="7" t="inlineStr">
        <is>
          <t>Owner Name</t>
        </is>
      </c>
      <c r="C2" s="7" t="inlineStr">
        <is>
          <t>Mobile Number</t>
        </is>
      </c>
      <c r="D2" s="7" t="inlineStr">
        <is>
          <t>Flat/Shop No.</t>
        </is>
      </c>
      <c r="E2" s="7" t="inlineStr">
        <is>
          <t>Maintenance Amount</t>
        </is>
      </c>
      <c r="F2" s="7" t="inlineStr">
        <is>
          <t>Payment Mode</t>
        </is>
      </c>
      <c r="G2" s="7" t="inlineStr">
        <is>
          <t>Payment Date</t>
        </is>
      </c>
      <c r="H2" s="7" t="inlineStr">
        <is>
          <t>Receiver's Name</t>
        </is>
      </c>
      <c r="I2" s="7" t="inlineStr">
        <is>
          <t>Status</t>
        </is>
      </c>
    </row>
    <row r="3">
      <c r="A3" s="12" t="n">
        <v>1</v>
      </c>
      <c r="B3" s="8" t="inlineStr">
        <is>
          <t>Reshma Tailor</t>
        </is>
      </c>
      <c r="C3" s="8" t="inlineStr"/>
      <c r="D3" s="8" t="inlineStr">
        <is>
          <t>Shop no. 1</t>
        </is>
      </c>
      <c r="E3" s="10" t="n">
        <v>500</v>
      </c>
      <c r="F3" s="12" t="inlineStr">
        <is>
          <t>Online</t>
        </is>
      </c>
      <c r="G3" s="12" t="inlineStr">
        <is>
          <t>09 July 2026</t>
        </is>
      </c>
      <c r="H3" s="8" t="inlineStr">
        <is>
          <t>Vivek</t>
        </is>
      </c>
      <c r="I3" s="8">
        <f>IF(E3&gt;0, "Paid", "Pending")</f>
        <v/>
      </c>
    </row>
    <row r="4">
      <c r="A4" s="13" t="n">
        <v>2</v>
      </c>
      <c r="B4" s="14" t="inlineStr">
        <is>
          <t>Kadam Chai</t>
        </is>
      </c>
      <c r="C4" s="14" t="inlineStr"/>
      <c r="D4" s="14" t="inlineStr">
        <is>
          <t>Shop no. 2</t>
        </is>
      </c>
      <c r="E4" s="15" t="n">
        <v>500</v>
      </c>
      <c r="F4" s="13" t="inlineStr">
        <is>
          <t>Online</t>
        </is>
      </c>
      <c r="G4" s="13" t="inlineStr">
        <is>
          <t>09 July 2026</t>
        </is>
      </c>
      <c r="H4" s="14" t="inlineStr">
        <is>
          <t>Vivek</t>
        </is>
      </c>
      <c r="I4" s="14">
        <f>IF(E4&gt;0, "Paid", "Pending")</f>
        <v/>
      </c>
    </row>
    <row r="5">
      <c r="A5" s="12" t="n">
        <v>3</v>
      </c>
      <c r="B5" s="8" t="inlineStr">
        <is>
          <t>Chicken Shop</t>
        </is>
      </c>
      <c r="C5" s="8" t="inlineStr"/>
      <c r="D5" s="8" t="inlineStr">
        <is>
          <t>Shop no. 3</t>
        </is>
      </c>
      <c r="E5" s="10" t="n">
        <v>0</v>
      </c>
      <c r="F5" s="12" t="inlineStr"/>
      <c r="G5" s="12" t="inlineStr"/>
      <c r="H5" s="8" t="inlineStr">
        <is>
          <t>Vivek</t>
        </is>
      </c>
      <c r="I5" s="8">
        <f>IF(E5&gt;0, "Paid", "Pending")</f>
        <v/>
      </c>
    </row>
    <row r="6">
      <c r="A6" s="13" t="n">
        <v>4</v>
      </c>
      <c r="B6" s="14" t="inlineStr">
        <is>
          <t>Dev Narayan Dairy</t>
        </is>
      </c>
      <c r="C6" s="14" t="inlineStr"/>
      <c r="D6" s="14" t="inlineStr">
        <is>
          <t>Shop no. 4</t>
        </is>
      </c>
      <c r="E6" s="15" t="n">
        <v>0</v>
      </c>
      <c r="F6" s="13" t="inlineStr"/>
      <c r="G6" s="13" t="inlineStr"/>
      <c r="H6" s="14" t="inlineStr">
        <is>
          <t>Vivek</t>
        </is>
      </c>
      <c r="I6" s="14">
        <f>IF(E6&gt;0, "Paid", "Pending")</f>
        <v/>
      </c>
    </row>
    <row r="7">
      <c r="A7" s="12" t="n">
        <v>5</v>
      </c>
      <c r="B7" s="8" t="inlineStr">
        <is>
          <t>Beauty Parlour</t>
        </is>
      </c>
      <c r="C7" s="8" t="inlineStr"/>
      <c r="D7" s="8" t="inlineStr">
        <is>
          <t>Shop no. 5</t>
        </is>
      </c>
      <c r="E7" s="10" t="n">
        <v>0</v>
      </c>
      <c r="F7" s="12" t="inlineStr"/>
      <c r="G7" s="12" t="inlineStr"/>
      <c r="H7" s="8" t="inlineStr">
        <is>
          <t>Vivek</t>
        </is>
      </c>
      <c r="I7" s="8">
        <f>IF(E7&gt;0, "Paid", "Pending")</f>
        <v/>
      </c>
    </row>
    <row r="8">
      <c r="A8" s="13" t="n">
        <v>6</v>
      </c>
      <c r="B8" s="14" t="inlineStr">
        <is>
          <t>Salon</t>
        </is>
      </c>
      <c r="C8" s="14" t="inlineStr"/>
      <c r="D8" s="14" t="inlineStr">
        <is>
          <t>Shop no. 6</t>
        </is>
      </c>
      <c r="E8" s="15" t="n">
        <v>500</v>
      </c>
      <c r="F8" s="13" t="inlineStr">
        <is>
          <t>Online</t>
        </is>
      </c>
      <c r="G8" s="13" t="inlineStr">
        <is>
          <t>09 July 2026</t>
        </is>
      </c>
      <c r="H8" s="14" t="inlineStr">
        <is>
          <t>Vivek</t>
        </is>
      </c>
      <c r="I8" s="14">
        <f>IF(E8&gt;0, "Paid", "Pending")</f>
        <v/>
      </c>
    </row>
    <row r="9">
      <c r="A9" s="12" t="n">
        <v>7</v>
      </c>
      <c r="B9" s="8" t="inlineStr">
        <is>
          <t>Bhajiwala</t>
        </is>
      </c>
      <c r="C9" s="8" t="inlineStr"/>
      <c r="D9" s="8" t="inlineStr">
        <is>
          <t>Shop no. 7</t>
        </is>
      </c>
      <c r="E9" s="10" t="n">
        <v>500</v>
      </c>
      <c r="F9" s="12" t="inlineStr">
        <is>
          <t>Cash</t>
        </is>
      </c>
      <c r="G9" s="12" t="inlineStr">
        <is>
          <t>09 July 2026</t>
        </is>
      </c>
      <c r="H9" s="8" t="inlineStr">
        <is>
          <t>Vivek</t>
        </is>
      </c>
      <c r="I9" s="8">
        <f>IF(E9&gt;0, "Paid", "Pending")</f>
        <v/>
      </c>
    </row>
    <row r="10">
      <c r="A10" s="13" t="n">
        <v>8</v>
      </c>
      <c r="B10" s="14" t="inlineStr">
        <is>
          <t>Mhatre</t>
        </is>
      </c>
      <c r="C10" s="14" t="inlineStr"/>
      <c r="D10" s="14" t="inlineStr">
        <is>
          <t>Ground floor</t>
        </is>
      </c>
      <c r="E10" s="15" t="n">
        <v>700</v>
      </c>
      <c r="F10" s="13" t="inlineStr">
        <is>
          <t>Cash</t>
        </is>
      </c>
      <c r="G10" s="13" t="inlineStr">
        <is>
          <t>09 July 2026</t>
        </is>
      </c>
      <c r="H10" s="14" t="inlineStr">
        <is>
          <t>Vivek</t>
        </is>
      </c>
      <c r="I10" s="14">
        <f>IF(E10&gt;0, "Paid", "Pending")</f>
        <v/>
      </c>
    </row>
    <row r="11">
      <c r="A11" s="12" t="n">
        <v>9</v>
      </c>
      <c r="B11" s="8" t="inlineStr"/>
      <c r="C11" s="8" t="inlineStr"/>
      <c r="D11" s="8" t="inlineStr">
        <is>
          <t>Flat no 101</t>
        </is>
      </c>
      <c r="E11" s="10" t="n">
        <v>700</v>
      </c>
      <c r="F11" s="12" t="inlineStr">
        <is>
          <t>Cash</t>
        </is>
      </c>
      <c r="G11" s="12" t="inlineStr">
        <is>
          <t>09 July 2026</t>
        </is>
      </c>
      <c r="H11" s="8" t="inlineStr">
        <is>
          <t>Vivek</t>
        </is>
      </c>
      <c r="I11" s="8">
        <f>IF(E11&gt;0, "Paid", "Pending")</f>
        <v/>
      </c>
    </row>
    <row r="12">
      <c r="A12" s="13" t="n">
        <v>10</v>
      </c>
      <c r="B12" s="14" t="inlineStr"/>
      <c r="C12" s="14" t="inlineStr"/>
      <c r="D12" s="14" t="inlineStr">
        <is>
          <t>Flat no 102</t>
        </is>
      </c>
      <c r="E12" s="15" t="n">
        <v>700</v>
      </c>
      <c r="F12" s="13" t="inlineStr">
        <is>
          <t>Cash</t>
        </is>
      </c>
      <c r="G12" s="13" t="inlineStr">
        <is>
          <t>09 July 2026</t>
        </is>
      </c>
      <c r="H12" s="14" t="inlineStr">
        <is>
          <t>Vivek</t>
        </is>
      </c>
      <c r="I12" s="14">
        <f>IF(E12&gt;0, "Paid", "Pending")</f>
        <v/>
      </c>
    </row>
    <row r="13">
      <c r="A13" s="12" t="n">
        <v>11</v>
      </c>
      <c r="B13" s="8" t="inlineStr">
        <is>
          <t>Ramchandra Pal</t>
        </is>
      </c>
      <c r="C13" s="8" t="inlineStr"/>
      <c r="D13" s="8" t="inlineStr">
        <is>
          <t>Flat no 103</t>
        </is>
      </c>
      <c r="E13" s="10" t="n">
        <v>0</v>
      </c>
      <c r="F13" s="12" t="inlineStr"/>
      <c r="G13" s="12" t="inlineStr"/>
      <c r="H13" s="8" t="inlineStr">
        <is>
          <t>Vivek</t>
        </is>
      </c>
      <c r="I13" s="8">
        <f>IF(E13&gt;0, "Paid", "Pending")</f>
        <v/>
      </c>
    </row>
    <row r="14">
      <c r="A14" s="13" t="n">
        <v>12</v>
      </c>
      <c r="B14" s="14" t="inlineStr">
        <is>
          <t>Ashish ghrat</t>
        </is>
      </c>
      <c r="C14" s="14" t="inlineStr"/>
      <c r="D14" s="14" t="inlineStr">
        <is>
          <t>Flat no 104</t>
        </is>
      </c>
      <c r="E14" s="15" t="n">
        <v>700</v>
      </c>
      <c r="F14" s="13" t="inlineStr">
        <is>
          <t>Online</t>
        </is>
      </c>
      <c r="G14" s="13" t="inlineStr"/>
      <c r="H14" s="14" t="inlineStr">
        <is>
          <t>Vivek</t>
        </is>
      </c>
      <c r="I14" s="14">
        <f>IF(E14&gt;0, "Paid", "Pending")</f>
        <v/>
      </c>
    </row>
    <row r="15">
      <c r="A15" s="12" t="n">
        <v>13</v>
      </c>
      <c r="B15" s="8" t="inlineStr">
        <is>
          <t>Shrivas Prajapati</t>
        </is>
      </c>
      <c r="C15" s="8" t="inlineStr"/>
      <c r="D15" s="8" t="inlineStr">
        <is>
          <t>Flat no 105</t>
        </is>
      </c>
      <c r="E15" s="10" t="n">
        <v>0</v>
      </c>
      <c r="F15" s="12" t="inlineStr"/>
      <c r="G15" s="12" t="inlineStr"/>
      <c r="H15" s="8" t="inlineStr">
        <is>
          <t>Vivek</t>
        </is>
      </c>
      <c r="I15" s="8">
        <f>IF(E15&gt;0, "Paid", "Pending")</f>
        <v/>
      </c>
    </row>
    <row r="16">
      <c r="A16" s="13" t="n">
        <v>14</v>
      </c>
      <c r="B16" s="14" t="inlineStr">
        <is>
          <t>Mhatre</t>
        </is>
      </c>
      <c r="C16" s="14" t="inlineStr"/>
      <c r="D16" s="14" t="inlineStr">
        <is>
          <t>Flat no 106</t>
        </is>
      </c>
      <c r="E16" s="15" t="n">
        <v>700</v>
      </c>
      <c r="F16" s="13" t="inlineStr">
        <is>
          <t>Cash</t>
        </is>
      </c>
      <c r="G16" s="13" t="inlineStr">
        <is>
          <t>09 July 2026</t>
        </is>
      </c>
      <c r="H16" s="14" t="inlineStr">
        <is>
          <t>Vivek</t>
        </is>
      </c>
      <c r="I16" s="14">
        <f>IF(E16&gt;0, "Paid", "Pending")</f>
        <v/>
      </c>
    </row>
    <row r="17">
      <c r="A17" s="12" t="n">
        <v>15</v>
      </c>
      <c r="B17" s="8" t="inlineStr">
        <is>
          <t>Harishchandra Patil</t>
        </is>
      </c>
      <c r="C17" s="8" t="inlineStr"/>
      <c r="D17" s="8" t="inlineStr">
        <is>
          <t>Flat no 107</t>
        </is>
      </c>
      <c r="E17" s="10" t="n">
        <v>700</v>
      </c>
      <c r="F17" s="12" t="inlineStr">
        <is>
          <t>Online</t>
        </is>
      </c>
      <c r="G17" s="12" t="inlineStr">
        <is>
          <t>09 July 2026</t>
        </is>
      </c>
      <c r="H17" s="8" t="inlineStr">
        <is>
          <t>Vivek</t>
        </is>
      </c>
      <c r="I17" s="8">
        <f>IF(E17&gt;0, "Paid", "Pending")</f>
        <v/>
      </c>
    </row>
    <row r="18">
      <c r="A18" s="13" t="n">
        <v>16</v>
      </c>
      <c r="B18" s="14" t="inlineStr">
        <is>
          <t>Devendra Bhilare</t>
        </is>
      </c>
      <c r="C18" s="14" t="inlineStr"/>
      <c r="D18" s="14" t="inlineStr">
        <is>
          <t>Flat no 201</t>
        </is>
      </c>
      <c r="E18" s="15" t="n">
        <v>700</v>
      </c>
      <c r="F18" s="13" t="inlineStr">
        <is>
          <t>Cash</t>
        </is>
      </c>
      <c r="G18" s="13" t="inlineStr">
        <is>
          <t>13 July 2026</t>
        </is>
      </c>
      <c r="H18" s="14" t="inlineStr">
        <is>
          <t>Vivek</t>
        </is>
      </c>
      <c r="I18" s="14">
        <f>IF(E18&gt;0, "Paid", "Pending")</f>
        <v/>
      </c>
    </row>
    <row r="19">
      <c r="A19" s="12" t="n">
        <v>17</v>
      </c>
      <c r="B19" s="8" t="inlineStr">
        <is>
          <t>Suresh Ovala</t>
        </is>
      </c>
      <c r="C19" s="8" t="inlineStr"/>
      <c r="D19" s="8" t="inlineStr">
        <is>
          <t>Flat no 202</t>
        </is>
      </c>
      <c r="E19" s="10" t="n">
        <v>0</v>
      </c>
      <c r="F19" s="12" t="inlineStr"/>
      <c r="G19" s="12" t="inlineStr"/>
      <c r="H19" s="8" t="inlineStr">
        <is>
          <t>Vivek</t>
        </is>
      </c>
      <c r="I19" s="8">
        <f>IF(E19&gt;0, "Paid", "Pending")</f>
        <v/>
      </c>
    </row>
    <row r="20">
      <c r="A20" s="13" t="n">
        <v>18</v>
      </c>
      <c r="B20" s="14" t="inlineStr">
        <is>
          <t>Mohan Singh</t>
        </is>
      </c>
      <c r="C20" s="14" t="inlineStr"/>
      <c r="D20" s="14" t="inlineStr">
        <is>
          <t>Flat no 203</t>
        </is>
      </c>
      <c r="E20" s="15" t="n">
        <v>700</v>
      </c>
      <c r="F20" s="13" t="inlineStr">
        <is>
          <t>Online</t>
        </is>
      </c>
      <c r="G20" s="13" t="inlineStr">
        <is>
          <t>09 July 2026</t>
        </is>
      </c>
      <c r="H20" s="14" t="inlineStr">
        <is>
          <t>Vivek</t>
        </is>
      </c>
      <c r="I20" s="14">
        <f>IF(E20&gt;0, "Paid", "Pending")</f>
        <v/>
      </c>
    </row>
    <row r="21">
      <c r="A21" s="12" t="n">
        <v>19</v>
      </c>
      <c r="B21" s="8" t="inlineStr">
        <is>
          <t>Amol Gadge</t>
        </is>
      </c>
      <c r="C21" s="8" t="inlineStr"/>
      <c r="D21" s="8" t="inlineStr">
        <is>
          <t>Flat no 204</t>
        </is>
      </c>
      <c r="E21" s="10" t="n">
        <v>700</v>
      </c>
      <c r="F21" s="12" t="inlineStr">
        <is>
          <t>Online</t>
        </is>
      </c>
      <c r="G21" s="12" t="inlineStr">
        <is>
          <t>06 July 2026</t>
        </is>
      </c>
      <c r="H21" s="8" t="inlineStr">
        <is>
          <t>Vivek</t>
        </is>
      </c>
      <c r="I21" s="8">
        <f>IF(E21&gt;0, "Paid", "Pending")</f>
        <v/>
      </c>
    </row>
    <row r="22">
      <c r="A22" s="13" t="n">
        <v>20</v>
      </c>
      <c r="B22" s="14" t="inlineStr">
        <is>
          <t>Vishal Bhise</t>
        </is>
      </c>
      <c r="C22" s="14" t="inlineStr"/>
      <c r="D22" s="14" t="inlineStr">
        <is>
          <t>Flat no 205</t>
        </is>
      </c>
      <c r="E22" s="15" t="n">
        <v>700</v>
      </c>
      <c r="F22" s="13" t="inlineStr">
        <is>
          <t>Online</t>
        </is>
      </c>
      <c r="G22" s="13" t="inlineStr">
        <is>
          <t>06 July 2026</t>
        </is>
      </c>
      <c r="H22" s="14" t="inlineStr">
        <is>
          <t>Vivek</t>
        </is>
      </c>
      <c r="I22" s="14">
        <f>IF(E22&gt;0, "Paid", "Pending")</f>
        <v/>
      </c>
    </row>
    <row r="23">
      <c r="A23" s="12" t="n">
        <v>21</v>
      </c>
      <c r="B23" s="8" t="inlineStr">
        <is>
          <t>Vishnu Wagh</t>
        </is>
      </c>
      <c r="C23" s="8" t="inlineStr"/>
      <c r="D23" s="8" t="inlineStr">
        <is>
          <t>Flat no 206</t>
        </is>
      </c>
      <c r="E23" s="10" t="n">
        <v>700</v>
      </c>
      <c r="F23" s="12" t="inlineStr">
        <is>
          <t>Online</t>
        </is>
      </c>
      <c r="G23" s="12" t="inlineStr">
        <is>
          <t>06 July 2026</t>
        </is>
      </c>
      <c r="H23" s="8" t="inlineStr">
        <is>
          <t>Vivek</t>
        </is>
      </c>
      <c r="I23" s="8">
        <f>IF(E23&gt;0, "Paid", "Pending")</f>
        <v/>
      </c>
    </row>
    <row r="24">
      <c r="A24" s="13" t="n">
        <v>22</v>
      </c>
      <c r="B24" s="14" t="inlineStr">
        <is>
          <t>Suraj Vadge</t>
        </is>
      </c>
      <c r="C24" s="14" t="inlineStr"/>
      <c r="D24" s="14" t="inlineStr">
        <is>
          <t>Flat no 207</t>
        </is>
      </c>
      <c r="E24" s="15" t="n">
        <v>700</v>
      </c>
      <c r="F24" s="13" t="inlineStr">
        <is>
          <t>Online</t>
        </is>
      </c>
      <c r="G24" s="13" t="inlineStr">
        <is>
          <t>06 July 2026</t>
        </is>
      </c>
      <c r="H24" s="14" t="inlineStr">
        <is>
          <t>Vivek</t>
        </is>
      </c>
      <c r="I24" s="14">
        <f>IF(E24&gt;0, "Paid", "Pending")</f>
        <v/>
      </c>
    </row>
    <row r="25">
      <c r="A25" s="12" t="n">
        <v>23</v>
      </c>
      <c r="B25" s="8" t="inlineStr"/>
      <c r="C25" s="8" t="inlineStr"/>
      <c r="D25" s="8" t="inlineStr">
        <is>
          <t>Flat no 301</t>
        </is>
      </c>
      <c r="E25" s="10" t="n">
        <v>0</v>
      </c>
      <c r="F25" s="12" t="inlineStr"/>
      <c r="G25" s="12" t="inlineStr"/>
      <c r="H25" s="8" t="inlineStr">
        <is>
          <t>Vivek</t>
        </is>
      </c>
      <c r="I25" s="8">
        <f>IF(E25&gt;0, "Paid", "Pending")</f>
        <v/>
      </c>
    </row>
    <row r="26">
      <c r="A26" s="13" t="n">
        <v>24</v>
      </c>
      <c r="B26" s="14" t="inlineStr"/>
      <c r="C26" s="14" t="inlineStr"/>
      <c r="D26" s="14" t="inlineStr">
        <is>
          <t>Flat no 302</t>
        </is>
      </c>
      <c r="E26" s="15" t="n">
        <v>0</v>
      </c>
      <c r="F26" s="13" t="inlineStr"/>
      <c r="G26" s="13" t="inlineStr"/>
      <c r="H26" s="14" t="inlineStr">
        <is>
          <t>Vivek</t>
        </is>
      </c>
      <c r="I26" s="14">
        <f>IF(E26&gt;0, "Paid", "Pending")</f>
        <v/>
      </c>
    </row>
    <row r="27">
      <c r="A27" s="12" t="n">
        <v>25</v>
      </c>
      <c r="B27" s="8" t="inlineStr">
        <is>
          <t>Lalitkumar Patil</t>
        </is>
      </c>
      <c r="C27" s="8" t="inlineStr"/>
      <c r="D27" s="8" t="inlineStr">
        <is>
          <t>Flat no 303</t>
        </is>
      </c>
      <c r="E27" s="10" t="n">
        <v>700</v>
      </c>
      <c r="F27" s="12" t="inlineStr">
        <is>
          <t>Online</t>
        </is>
      </c>
      <c r="G27" s="12" t="inlineStr">
        <is>
          <t>13 July 2026</t>
        </is>
      </c>
      <c r="H27" s="8" t="inlineStr">
        <is>
          <t>Vivek</t>
        </is>
      </c>
      <c r="I27" s="8">
        <f>IF(E27&gt;0, "Paid", "Pending")</f>
        <v/>
      </c>
    </row>
    <row r="28">
      <c r="A28" s="13" t="n">
        <v>26</v>
      </c>
      <c r="B28" s="14" t="inlineStr">
        <is>
          <t>Subhash Chikne</t>
        </is>
      </c>
      <c r="C28" s="14" t="inlineStr"/>
      <c r="D28" s="14" t="inlineStr">
        <is>
          <t>Flat no 304</t>
        </is>
      </c>
      <c r="E28" s="15" t="n">
        <v>700</v>
      </c>
      <c r="F28" s="13" t="inlineStr">
        <is>
          <t>Online</t>
        </is>
      </c>
      <c r="G28" s="13" t="inlineStr">
        <is>
          <t>06 July 2026</t>
        </is>
      </c>
      <c r="H28" s="14" t="inlineStr">
        <is>
          <t>Vivek</t>
        </is>
      </c>
      <c r="I28" s="14">
        <f>IF(E28&gt;0, "Paid", "Pending")</f>
        <v/>
      </c>
    </row>
    <row r="29">
      <c r="A29" s="12" t="n">
        <v>27</v>
      </c>
      <c r="B29" s="8" t="inlineStr">
        <is>
          <t>Mohan Singh</t>
        </is>
      </c>
      <c r="C29" s="8" t="inlineStr"/>
      <c r="D29" s="8" t="inlineStr">
        <is>
          <t>Flat no 305</t>
        </is>
      </c>
      <c r="E29" s="10" t="n">
        <v>700</v>
      </c>
      <c r="F29" s="12" t="inlineStr">
        <is>
          <t>Online</t>
        </is>
      </c>
      <c r="G29" s="12" t="inlineStr">
        <is>
          <t>09 July 2026</t>
        </is>
      </c>
      <c r="H29" s="8" t="inlineStr">
        <is>
          <t>Vivek</t>
        </is>
      </c>
      <c r="I29" s="8">
        <f>IF(E29&gt;0, "Paid", "Pending")</f>
        <v/>
      </c>
    </row>
    <row r="30">
      <c r="A30" s="13" t="n">
        <v>28</v>
      </c>
      <c r="B30" s="14" t="inlineStr">
        <is>
          <t>Mohan Singh</t>
        </is>
      </c>
      <c r="C30" s="14" t="inlineStr"/>
      <c r="D30" s="14" t="inlineStr">
        <is>
          <t>Flat no 306</t>
        </is>
      </c>
      <c r="E30" s="15" t="n">
        <v>700</v>
      </c>
      <c r="F30" s="13" t="inlineStr">
        <is>
          <t>Online</t>
        </is>
      </c>
      <c r="G30" s="13" t="inlineStr">
        <is>
          <t>09 July 2026</t>
        </is>
      </c>
      <c r="H30" s="14" t="inlineStr">
        <is>
          <t>Vivek</t>
        </is>
      </c>
      <c r="I30" s="14">
        <f>IF(E30&gt;0, "Paid", "Pending")</f>
        <v/>
      </c>
    </row>
    <row r="31">
      <c r="A31" s="12" t="n">
        <v>29</v>
      </c>
      <c r="B31" s="8" t="inlineStr">
        <is>
          <t>Mohan Singh</t>
        </is>
      </c>
      <c r="C31" s="8" t="inlineStr"/>
      <c r="D31" s="8" t="inlineStr">
        <is>
          <t>Flat no 307</t>
        </is>
      </c>
      <c r="E31" s="10" t="n">
        <v>700</v>
      </c>
      <c r="F31" s="12" t="inlineStr">
        <is>
          <t>Online</t>
        </is>
      </c>
      <c r="G31" s="12" t="inlineStr">
        <is>
          <t>09 July 2026</t>
        </is>
      </c>
      <c r="H31" s="8" t="inlineStr">
        <is>
          <t>Vivek</t>
        </is>
      </c>
      <c r="I31" s="8">
        <f>IF(E31&gt;0, "Paid", "Pending")</f>
        <v/>
      </c>
    </row>
    <row r="32">
      <c r="A32" s="13" t="n">
        <v>30</v>
      </c>
      <c r="B32" s="14" t="inlineStr">
        <is>
          <t>Mohan Singh</t>
        </is>
      </c>
      <c r="C32" s="14" t="inlineStr"/>
      <c r="D32" s="14" t="inlineStr">
        <is>
          <t>Flat no 401</t>
        </is>
      </c>
      <c r="E32" s="15" t="n">
        <v>700</v>
      </c>
      <c r="F32" s="13" t="inlineStr">
        <is>
          <t>Online</t>
        </is>
      </c>
      <c r="G32" s="13" t="inlineStr">
        <is>
          <t>09 July 2026</t>
        </is>
      </c>
      <c r="H32" s="14" t="inlineStr">
        <is>
          <t>Vivek</t>
        </is>
      </c>
      <c r="I32" s="14">
        <f>IF(E32&gt;0, "Paid", "Pending")</f>
        <v/>
      </c>
    </row>
    <row r="33">
      <c r="A33" s="12" t="n">
        <v>31</v>
      </c>
      <c r="B33" s="8" t="inlineStr">
        <is>
          <t>Sourab Patil</t>
        </is>
      </c>
      <c r="C33" s="8" t="inlineStr"/>
      <c r="D33" s="8" t="inlineStr">
        <is>
          <t>Flat no 402</t>
        </is>
      </c>
      <c r="E33" s="10" t="n">
        <v>0</v>
      </c>
      <c r="F33" s="12" t="inlineStr"/>
      <c r="G33" s="12" t="inlineStr"/>
      <c r="H33" s="8" t="inlineStr">
        <is>
          <t>Vivek</t>
        </is>
      </c>
      <c r="I33" s="8">
        <f>IF(E33&gt;0, "Paid", "Pending")</f>
        <v/>
      </c>
    </row>
    <row r="34">
      <c r="A34" s="13" t="n">
        <v>32</v>
      </c>
      <c r="B34" s="14" t="inlineStr">
        <is>
          <t>Oberoi</t>
        </is>
      </c>
      <c r="C34" s="14" t="inlineStr"/>
      <c r="D34" s="14" t="inlineStr">
        <is>
          <t>Flat no 403</t>
        </is>
      </c>
      <c r="E34" s="15" t="n">
        <v>700</v>
      </c>
      <c r="F34" s="13" t="inlineStr">
        <is>
          <t>Online</t>
        </is>
      </c>
      <c r="G34" s="13" t="inlineStr">
        <is>
          <t>07 July 2026</t>
        </is>
      </c>
      <c r="H34" s="14" t="inlineStr">
        <is>
          <t>Vivek</t>
        </is>
      </c>
      <c r="I34" s="14">
        <f>IF(E34&gt;0, "Paid", "Pending")</f>
        <v/>
      </c>
    </row>
    <row r="35">
      <c r="A35" s="12" t="n">
        <v>33</v>
      </c>
      <c r="B35" s="8" t="inlineStr">
        <is>
          <t>Kiran Yadav</t>
        </is>
      </c>
      <c r="C35" s="8" t="inlineStr"/>
      <c r="D35" s="8" t="inlineStr">
        <is>
          <t>Flat no 404</t>
        </is>
      </c>
      <c r="E35" s="10" t="n">
        <v>0</v>
      </c>
      <c r="F35" s="12" t="inlineStr"/>
      <c r="G35" s="12" t="inlineStr"/>
      <c r="H35" s="8" t="inlineStr">
        <is>
          <t>Vivek</t>
        </is>
      </c>
      <c r="I35" s="8">
        <f>IF(E35&gt;0, "Paid", "Pending")</f>
        <v/>
      </c>
    </row>
    <row r="36">
      <c r="A36" s="13" t="n">
        <v>34</v>
      </c>
      <c r="B36" s="14" t="inlineStr">
        <is>
          <t>Mohan Singh</t>
        </is>
      </c>
      <c r="C36" s="14" t="inlineStr"/>
      <c r="D36" s="14" t="inlineStr">
        <is>
          <t>Flat no 405</t>
        </is>
      </c>
      <c r="E36" s="15" t="n">
        <v>700</v>
      </c>
      <c r="F36" s="13" t="inlineStr">
        <is>
          <t>Online</t>
        </is>
      </c>
      <c r="G36" s="13" t="inlineStr">
        <is>
          <t>09 July 2026</t>
        </is>
      </c>
      <c r="H36" s="14" t="inlineStr">
        <is>
          <t>Vivek</t>
        </is>
      </c>
      <c r="I36" s="14">
        <f>IF(E36&gt;0, "Paid", "Pending")</f>
        <v/>
      </c>
    </row>
    <row r="37">
      <c r="A37" s="12" t="n">
        <v>35</v>
      </c>
      <c r="B37" s="8" t="inlineStr">
        <is>
          <t>Krushna Roy</t>
        </is>
      </c>
      <c r="C37" s="8" t="inlineStr"/>
      <c r="D37" s="8" t="inlineStr">
        <is>
          <t>Flat no 406</t>
        </is>
      </c>
      <c r="E37" s="10" t="n">
        <v>700</v>
      </c>
      <c r="F37" s="12" t="inlineStr">
        <is>
          <t>Online</t>
        </is>
      </c>
      <c r="G37" s="12" t="inlineStr">
        <is>
          <t>06 July 2026</t>
        </is>
      </c>
      <c r="H37" s="8" t="inlineStr">
        <is>
          <t>Vivek</t>
        </is>
      </c>
      <c r="I37" s="8">
        <f>IF(E37&gt;0, "Paid", "Pending")</f>
        <v/>
      </c>
    </row>
    <row r="38">
      <c r="A38" s="13" t="n">
        <v>36</v>
      </c>
      <c r="B38" s="14" t="inlineStr">
        <is>
          <t>Suraj Suryavanshi</t>
        </is>
      </c>
      <c r="C38" s="14" t="inlineStr"/>
      <c r="D38" s="14" t="inlineStr">
        <is>
          <t>Flat no 407</t>
        </is>
      </c>
      <c r="E38" s="15" t="n">
        <v>700</v>
      </c>
      <c r="F38" s="13" t="inlineStr">
        <is>
          <t>Online</t>
        </is>
      </c>
      <c r="G38" s="13" t="inlineStr">
        <is>
          <t>06 July 2026</t>
        </is>
      </c>
      <c r="H38" s="14" t="inlineStr">
        <is>
          <t>Vivek</t>
        </is>
      </c>
      <c r="I38" s="14">
        <f>IF(E38&gt;0, "Paid", "Pending")</f>
        <v/>
      </c>
    </row>
    <row r="39">
      <c r="A39" s="12" t="n">
        <v>37</v>
      </c>
      <c r="B39" s="8" t="inlineStr">
        <is>
          <t>Mhatre</t>
        </is>
      </c>
      <c r="C39" s="8" t="inlineStr"/>
      <c r="D39" s="8" t="inlineStr">
        <is>
          <t>Flat no 501</t>
        </is>
      </c>
      <c r="E39" s="10" t="n">
        <v>700</v>
      </c>
      <c r="F39" s="12" t="inlineStr">
        <is>
          <t>Cash</t>
        </is>
      </c>
      <c r="G39" s="12" t="inlineStr">
        <is>
          <t>09 July 2026</t>
        </is>
      </c>
      <c r="H39" s="8" t="inlineStr">
        <is>
          <t>Vivek</t>
        </is>
      </c>
      <c r="I39" s="8">
        <f>IF(E39&gt;0, "Paid", "Pending")</f>
        <v/>
      </c>
    </row>
    <row r="40">
      <c r="A40" s="13" t="n">
        <v>38</v>
      </c>
      <c r="B40" s="14" t="inlineStr">
        <is>
          <t>Sourab Patil</t>
        </is>
      </c>
      <c r="C40" s="14" t="inlineStr"/>
      <c r="D40" s="14" t="inlineStr">
        <is>
          <t>Flat no 502</t>
        </is>
      </c>
      <c r="E40" s="15" t="n">
        <v>0</v>
      </c>
      <c r="F40" s="13" t="inlineStr"/>
      <c r="G40" s="13" t="inlineStr"/>
      <c r="H40" s="14" t="inlineStr">
        <is>
          <t>Vivek</t>
        </is>
      </c>
      <c r="I40" s="14">
        <f>IF(E40&gt;0, "Paid", "Pending")</f>
        <v/>
      </c>
    </row>
    <row r="41">
      <c r="A41" s="12" t="n">
        <v>39</v>
      </c>
      <c r="B41" s="8" t="inlineStr">
        <is>
          <t>Baliram Gayvade</t>
        </is>
      </c>
      <c r="C41" s="8" t="inlineStr"/>
      <c r="D41" s="8" t="inlineStr">
        <is>
          <t>Flat no 503</t>
        </is>
      </c>
      <c r="E41" s="10" t="n">
        <v>700</v>
      </c>
      <c r="F41" s="12" t="inlineStr">
        <is>
          <t>Cash</t>
        </is>
      </c>
      <c r="G41" s="12" t="inlineStr">
        <is>
          <t>06 July 2006</t>
        </is>
      </c>
      <c r="H41" s="8" t="inlineStr">
        <is>
          <t>Vivek</t>
        </is>
      </c>
      <c r="I41" s="8">
        <f>IF(E41&gt;0, "Paid", "Pending")</f>
        <v/>
      </c>
    </row>
    <row r="42">
      <c r="A42" s="13" t="n">
        <v>40</v>
      </c>
      <c r="B42" s="14" t="inlineStr">
        <is>
          <t>Hitesh Patil</t>
        </is>
      </c>
      <c r="C42" s="14" t="inlineStr"/>
      <c r="D42" s="14" t="inlineStr">
        <is>
          <t>Flat no 504</t>
        </is>
      </c>
      <c r="E42" s="15" t="n">
        <v>0</v>
      </c>
      <c r="F42" s="13" t="inlineStr"/>
      <c r="G42" s="13" t="inlineStr"/>
      <c r="H42" s="14" t="inlineStr">
        <is>
          <t>Vivek</t>
        </is>
      </c>
      <c r="I42" s="14">
        <f>IF(E42&gt;0, "Paid", "Pending")</f>
        <v/>
      </c>
    </row>
    <row r="43">
      <c r="A43" s="12" t="n">
        <v>41</v>
      </c>
      <c r="B43" s="8" t="inlineStr">
        <is>
          <t>Mhatre</t>
        </is>
      </c>
      <c r="C43" s="8" t="inlineStr"/>
      <c r="D43" s="8" t="inlineStr">
        <is>
          <t>Flat no 505</t>
        </is>
      </c>
      <c r="E43" s="10" t="n">
        <v>700</v>
      </c>
      <c r="F43" s="12" t="inlineStr">
        <is>
          <t>Cash</t>
        </is>
      </c>
      <c r="G43" s="12" t="inlineStr">
        <is>
          <t>09 July 2026</t>
        </is>
      </c>
      <c r="H43" s="8" t="inlineStr">
        <is>
          <t>Vivek</t>
        </is>
      </c>
      <c r="I43" s="8">
        <f>IF(E43&gt;0, "Paid", "Pending")</f>
        <v/>
      </c>
    </row>
    <row r="44">
      <c r="A44" s="13" t="n">
        <v>42</v>
      </c>
      <c r="B44" s="14" t="inlineStr"/>
      <c r="C44" s="14" t="inlineStr"/>
      <c r="D44" s="14" t="inlineStr">
        <is>
          <t>Flat no 506</t>
        </is>
      </c>
      <c r="E44" s="15" t="n">
        <v>700</v>
      </c>
      <c r="F44" s="13" t="inlineStr">
        <is>
          <t>Cash</t>
        </is>
      </c>
      <c r="G44" s="13" t="inlineStr">
        <is>
          <t>09 July 2026</t>
        </is>
      </c>
      <c r="H44" s="14" t="inlineStr">
        <is>
          <t>Vivek</t>
        </is>
      </c>
      <c r="I44" s="14">
        <f>IF(E44&gt;0, "Paid", "Pending")</f>
        <v/>
      </c>
    </row>
    <row r="45">
      <c r="A45" s="12" t="n">
        <v>43</v>
      </c>
      <c r="B45" s="8" t="inlineStr"/>
      <c r="C45" s="8" t="inlineStr"/>
      <c r="D45" s="8" t="inlineStr">
        <is>
          <t>Flat no 507</t>
        </is>
      </c>
      <c r="E45" s="10" t="n">
        <v>700</v>
      </c>
      <c r="F45" s="12" t="inlineStr">
        <is>
          <t>Cash</t>
        </is>
      </c>
      <c r="G45" s="12" t="inlineStr">
        <is>
          <t>09 July 2026</t>
        </is>
      </c>
      <c r="H45" s="8" t="inlineStr">
        <is>
          <t>Vivek</t>
        </is>
      </c>
      <c r="I45" s="8">
        <f>IF(E45&gt;0, "Paid", "Pending")</f>
        <v/>
      </c>
    </row>
    <row r="46">
      <c r="D46" s="16" t="inlineStr">
        <is>
          <t>Total</t>
        </is>
      </c>
      <c r="E46" s="17">
        <f>SUM(E3:E45)</f>
        <v/>
      </c>
    </row>
  </sheetData>
  <conditionalFormatting sqref="I3:I45">
    <cfRule type="cellIs" priority="1" operator="equal" dxfId="0" stopIfTrue="1">
      <formula>"Paid"</formula>
    </cfRule>
    <cfRule type="cellIs" priority="2" operator="equal" dxfId="1" stopIfTrue="1">
      <formula>"Pending"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18" customWidth="1" min="5" max="5"/>
  </cols>
  <sheetData>
    <row r="1"/>
    <row r="2">
      <c r="A2" s="7" t="inlineStr">
        <is>
          <t>Sr. No.</t>
        </is>
      </c>
      <c r="B2" s="7" t="inlineStr">
        <is>
          <t>Month</t>
        </is>
      </c>
      <c r="C2" s="7" t="inlineStr">
        <is>
          <t>Description</t>
        </is>
      </c>
      <c r="D2" s="7" t="inlineStr">
        <is>
          <t>Amount Paid</t>
        </is>
      </c>
      <c r="E2" s="7" t="inlineStr">
        <is>
          <t>Date of Payment</t>
        </is>
      </c>
    </row>
    <row r="3">
      <c r="A3" s="12" t="n">
        <v>1</v>
      </c>
      <c r="B3" s="12" t="inlineStr">
        <is>
          <t>June</t>
        </is>
      </c>
      <c r="C3" s="8" t="inlineStr">
        <is>
          <t>Electricity Bill</t>
        </is>
      </c>
      <c r="D3" s="10" t="n">
        <v>13060</v>
      </c>
      <c r="E3" s="12" t="inlineStr"/>
    </row>
    <row r="4">
      <c r="A4" s="12" t="n">
        <v>2</v>
      </c>
      <c r="B4" s="12" t="inlineStr">
        <is>
          <t>June</t>
        </is>
      </c>
      <c r="C4" s="8" t="inlineStr">
        <is>
          <t>Sevage Cleaning</t>
        </is>
      </c>
      <c r="D4" s="10" t="n">
        <v>4000</v>
      </c>
      <c r="E4" s="12" t="inlineStr"/>
    </row>
    <row r="5">
      <c r="A5" s="12" t="n">
        <v>3</v>
      </c>
      <c r="B5" s="12" t="inlineStr">
        <is>
          <t>June</t>
        </is>
      </c>
      <c r="C5" s="8" t="inlineStr">
        <is>
          <t>D-Mart</t>
        </is>
      </c>
      <c r="D5" s="10" t="n">
        <v>684</v>
      </c>
      <c r="E5" s="12" t="inlineStr"/>
    </row>
    <row r="6">
      <c r="A6" s="12" t="n">
        <v>4</v>
      </c>
      <c r="B6" s="12" t="inlineStr">
        <is>
          <t>June</t>
        </is>
      </c>
      <c r="C6" s="8" t="inlineStr">
        <is>
          <t>Cleaning</t>
        </is>
      </c>
      <c r="D6" s="10" t="n">
        <v>6000</v>
      </c>
      <c r="E6" s="12" t="inlineStr"/>
    </row>
    <row r="7">
      <c r="C7" s="16" t="inlineStr">
        <is>
          <t>Total Expenses</t>
        </is>
      </c>
      <c r="D7" s="17">
        <f>SUM(D3:D6)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2026-07-17T05:44:39Z</dcterms:created>
  <dcterms:modified xmlns:dcterms="http://purl.org/dc/terms/" xmlns:xsi="http://www.w3.org/2001/XMLSchema-instance" xsi:type="dcterms:W3CDTF">2026-07-17T05:44:39Z</dcterms:modified>
</cp:coreProperties>
</file>